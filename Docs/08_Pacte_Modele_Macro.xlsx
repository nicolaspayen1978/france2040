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44d8f9935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6dd8215909fd434c"/>
    <x:sheet xmlns:r="http://schemas.openxmlformats.org/officeDocument/2006/relationships" name="Macro Model" sheetId="2" r:id="Rf0e36b0e1f1b4f76"/>
    <x:sheet xmlns:r="http://schemas.openxmlformats.org/officeDocument/2006/relationships" name="Scenarios" sheetId="3" r:id="R68f1197dc3a847c0"/>
    <x:sheet xmlns:r="http://schemas.openxmlformats.org/officeDocument/2006/relationships" name="Read Me" sheetId="4" r:id="Rd53bf9efc806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1eee9c73e4f65" /><Relationship Type="http://schemas.openxmlformats.org/officeDocument/2006/relationships/theme" Target="/xl/theme/theme1.xml" Id="Rd735c7ba7ee34981" /><Relationship Type="http://schemas.openxmlformats.org/officeDocument/2006/relationships/sharedStrings" Target="/xl/sharedStrings.xml" Id="R5147ad3cb97e435d" /><Relationship Type="http://schemas.openxmlformats.org/officeDocument/2006/relationships/worksheet" Target="/xl/worksheets/sheet1.xml" Id="R6dd8215909fd434c" /><Relationship Type="http://schemas.openxmlformats.org/officeDocument/2006/relationships/worksheet" Target="/xl/worksheets/sheet2.xml" Id="Rf0e36b0e1f1b4f76" /><Relationship Type="http://schemas.openxmlformats.org/officeDocument/2006/relationships/worksheet" Target="/xl/worksheets/sheet3.xml" Id="R68f1197dc3a847c0" /><Relationship Type="http://schemas.openxmlformats.org/officeDocument/2006/relationships/worksheet" Target="/xl/worksheets/sheet4.xml" Id="Rd53bf9efc8064d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f2cbc9fb174e98" /><Relationship Type="http://schemas.openxmlformats.org/officeDocument/2006/relationships/chart" Target="/xl/drawings/charts/chart2.xml" Id="Rd2b6be2d386d4f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Nominal GDP and Public Spending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Nominal GDP (€bn)</c:v>
          </c:tx>
          <c:marker>
            <c:symbol val="none"/>
          </c:marker>
          <c:cat>
            <c:strRef>
              <c:f>'Macro Model'!$A$2:$A$15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'Macro Model'!$H$2:$H$15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Public spending (€bn)</c:v>
          </c:tx>
          <c:marker>
            <c:symbol val="none"/>
          </c:marker>
          <c:cat>
            <c:strRef>
              <c:f>'Macro Model'!$A$2:$A$15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'Macro Model'!$J$2:$J$15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Pact Spread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Spread</c:v>
          </c:tx>
          <c:marker>
            <c:symbol val="none"/>
          </c:marker>
          <c:cat>
            <c:strRef>
              <c:f>'Macro Model'!$A$2:$A$15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'Macro Model'!$K$2:$K$15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f2cbc9fb174e98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b6be2d386d4f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b1c37615b5b4fed" /></Relationships>
</file>

<file path=xl/worksheets/sheet1.xml><?xml version="1.0" encoding="utf-8"?>
<x:worksheet xmlns:x="http://schemas.openxmlformats.org/spreadsheetml/2006/main">
  <x:sheetFormatPr defaultRowHeight="15"/>
  <x:cols>
    <x:col min="1" max="1" width="30.6299991607666" hidden="0" customWidth="1"/>
    <x:col min="2" max="2" width="15.880000114440918" hidden="0" customWidth="1"/>
  </x:cols>
  <x:sheetData>
    <x:row r="1">
      <x:c r="A1" s="6" t="str">
        <x:v>Pacte du Bilan Français — Macro Model</x:v>
      </x:c>
      <x:c r="B1" s="6" t="str"/>
      <x:c r="C1" s="6" t="str"/>
      <x:c r="D1" s="6" t="str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Assumption</x:v>
      </x:c>
      <x:c r="B3" s="7" t="str">
        <x:v>Central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Starting nominal GDP 2026 (€bn)</x:v>
      </x:c>
      <x:c r="B4" s="12" t="n">
        <x:v>3050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Underlying real growth</x:v>
      </x:c>
      <x:c r="B5" s="13" t="n">
        <x:v>0.01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GDP deflator</x:v>
      </x:c>
      <x:c r="B6" s="13" t="n">
        <x:v>0.025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Public spending nominal growth</x:v>
      </x:c>
      <x:c r="B7" s="13" t="n">
        <x:v>0.02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Credit-to-real-GDP impulse per €1 credit</x:v>
      </x:c>
      <x:c r="B8" s="13" t="n">
        <x:v>0.35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 t="str">
        <x:v>Domestic additional-spend share</x:v>
      </x:c>
      <x:c r="B9" s="13" t="n">
        <x:v>0.65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 t="str">
        <x:v>Starting public debt / GDP</x:v>
      </x:c>
      <x:c r="B10" s="13" t="n">
        <x:v>1.156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 t="str">
        <x:v>Starting public spending / GDP</x:v>
      </x:c>
      <x:c r="B11" s="7" t="n">
        <x:v>0.572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 t="str">
        <x:v>Year</x:v>
      </x:c>
      <x:c r="B13" s="7" t="str">
        <x:v>Net Pact credit (€bn)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 t="n">
        <x:v>2027</x:v>
      </x:c>
      <x:c r="B14" s="12" t="n">
        <x:v>25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 t="n">
        <x:v>2028</x:v>
      </x:c>
      <x:c r="B15" s="12" t="n">
        <x:v>45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 t="n">
        <x:v>2029</x:v>
      </x:c>
      <x:c r="B16" s="12" t="n">
        <x:v>65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 t="n">
        <x:v>2030</x:v>
      </x:c>
      <x:c r="B17" s="12" t="n">
        <x:v>80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 t="n">
        <x:v>2031</x:v>
      </x:c>
      <x:c r="B18" s="12" t="n">
        <x:v>90</x:v>
      </x:c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 t="n">
        <x:v>2032</x:v>
      </x:c>
      <x:c r="B19" s="12" t="n">
        <x:v>90</x:v>
      </x:c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 t="n">
        <x:v>2033</x:v>
      </x:c>
      <x:c r="B20" s="12" t="n">
        <x:v>80</x:v>
      </x:c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 t="n">
        <x:v>2034</x:v>
      </x:c>
      <x:c r="B21" s="12" t="n">
        <x:v>70</x:v>
      </x:c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 t="n">
        <x:v>2035</x:v>
      </x:c>
      <x:c r="B22" s="12" t="n">
        <x:v>55</x:v>
      </x:c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 t="n">
        <x:v>2036</x:v>
      </x:c>
      <x:c r="B23" s="12" t="n">
        <x:v>40</x:v>
      </x:c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 t="n">
        <x:v>2037</x:v>
      </x:c>
      <x:c r="B24" s="12" t="n">
        <x:v>30</x:v>
      </x:c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 t="n">
        <x:v>2038</x:v>
      </x:c>
      <x:c r="B25" s="12" t="n">
        <x:v>20</x:v>
      </x:c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 t="n">
        <x:v>2039</x:v>
      </x:c>
      <x:c r="B26" s="12" t="n">
        <x:v>10</x:v>
      </x:c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 t="n">
        <x:v>2040</x:v>
      </x:c>
      <x:c r="B27" s="12" t="n">
        <x:v>0</x:v>
      </x:c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2.5" hidden="0" customWidth="1"/>
    <x:col min="3" max="3" width="23" hidden="0" customWidth="1"/>
    <x:col min="4" max="4" width="13" hidden="0" customWidth="1"/>
    <x:col min="5" max="5" width="18.1299991607666" hidden="0" customWidth="1"/>
    <x:col min="6" max="6" width="10.380000114440918" hidden="0" customWidth="1"/>
    <x:col min="7" max="7" width="16.6299991607666" hidden="0" customWidth="1"/>
    <x:col min="8" max="8" width="15.25" hidden="0" customWidth="1"/>
    <x:col min="9" max="9" width="16.1299991607666" hidden="0" customWidth="1"/>
    <x:col min="10" max="10" width="16.8799991607666" hidden="0" customWidth="1"/>
    <x:col min="11" max="11" width="10.25" hidden="0" customWidth="1"/>
    <x:col min="12" max="12" width="17.5" hidden="0" customWidth="1"/>
  </x:cols>
  <x:sheetData>
    <x:row r="1">
      <x:c r="A1" s="6" t="str">
        <x:v>Year</x:v>
      </x:c>
      <x:c r="B1" s="6" t="str">
        <x:v>Net credit (€bn)</x:v>
      </x:c>
      <x:c r="C1" s="6" t="str">
        <x:v>Credit impulse real GDP (€bn)</x:v>
      </x:c>
      <x:c r="D1" s="6" t="str">
        <x:v>Pact real growth</x:v>
      </x:c>
      <x:c r="E1" s="6" t="str">
        <x:v>Underlying real growth</x:v>
      </x:c>
      <x:c r="F1" s="6" t="str">
        <x:v>GDP deflator</x:v>
      </x:c>
      <x:c r="G1" s="6" t="str">
        <x:v>Nominal GDP growth</x:v>
      </x:c>
      <x:c r="H1" s="6" t="str">
        <x:v>Nominal GDP (€bn)</x:v>
      </x:c>
      <x:c r="I1" s="6" t="str">
        <x:v>Public spend growth</x:v>
      </x:c>
      <x:c r="J1" s="6" t="str">
        <x:v>Public spending (€bn)</x:v>
      </x:c>
      <x:c r="K1" s="6" t="str">
        <x:v>Pact Spread</x:v>
      </x:c>
      <x:c r="L1" s="6" t="str">
        <x:v>Illustrative debt/GDP*</x:v>
      </x:c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2" t="n">
        <x:v>2027</x:v>
      </x:c>
      <x:c r="B2" s="12" t="n">
        <x:v>25</x:v>
      </x:c>
      <x:c r="C2" s="7" t="n">
        <x:f>B2*Assumptions!$B$9*Assumptions!$B$8</x:f>
        <x:v>5.6875</x:v>
      </x:c>
      <x:c r="D2" s="10" t="n">
        <x:f>C2/Assumptions!$B$4</x:f>
        <x:v>0.0018647540983606557</x:v>
      </x:c>
      <x:c r="E2" s="10" t="n">
        <x:f>Assumptions!$B$5</x:f>
        <x:v>0.01</x:v>
      </x:c>
      <x:c r="F2" s="10" t="n">
        <x:f>Assumptions!$B$6</x:f>
        <x:v>0.025</x:v>
      </x:c>
      <x:c r="G2" s="10" t="n">
        <x:f>D2+E2+F2</x:f>
        <x:v>0.03686475409836066</x:v>
      </x:c>
      <x:c r="H2" s="7" t="n">
        <x:f>Assumptions!$B$4*(1+G2)</x:f>
        <x:v>3162.4375</x:v>
      </x:c>
      <x:c r="I2" s="10" t="n">
        <x:f>Assumptions!$B$7</x:f>
        <x:v>0.02</x:v>
      </x:c>
      <x:c r="J2" s="7" t="n">
        <x:f>Assumptions!$B$4*Assumptions!$B$11*(1+I2)</x:f>
        <x:v>1779.492</x:v>
      </x:c>
      <x:c r="K2" s="10" t="n">
        <x:f>G2-I2</x:f>
        <x:v>0.01686475409836066</x:v>
      </x:c>
      <x:c r="L2" s="10" t="n">
        <x:f>Assumptions!$B$4*Assumptions!$B$10/H2</x:f>
        <x:v>1.1148995039427656</x:v>
      </x:c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2" t="n">
        <x:v>2028</x:v>
      </x:c>
      <x:c r="B3" s="12" t="n">
        <x:v>45</x:v>
      </x:c>
      <x:c r="C3" s="7" t="n">
        <x:f>B3*Assumptions!$B$9*Assumptions!$B$8</x:f>
        <x:v>10.237499999999999</x:v>
      </x:c>
      <x:c r="D3" s="10" t="n">
        <x:f>C3/H2</x:f>
        <x:v>0.003237218126840451</x:v>
      </x:c>
      <x:c r="E3" s="10" t="n">
        <x:f>Assumptions!$B$5</x:f>
        <x:v>0.01</x:v>
      </x:c>
      <x:c r="F3" s="10" t="n">
        <x:f>Assumptions!$B$6</x:f>
        <x:v>0.025</x:v>
      </x:c>
      <x:c r="G3" s="10" t="n">
        <x:f>D3+E3+F3</x:f>
        <x:v>0.03823721812684045</x:v>
      </x:c>
      <x:c r="H3" s="7" t="n">
        <x:f>H2*(1+G3)</x:f>
        <x:v>3283.3603125</x:v>
      </x:c>
      <x:c r="I3" s="10" t="n">
        <x:f>Assumptions!$B$7</x:f>
        <x:v>0.02</x:v>
      </x:c>
      <x:c r="J3" s="7" t="n">
        <x:f>J2*(1+I3)</x:f>
        <x:v>1815.08184</x:v>
      </x:c>
      <x:c r="K3" s="10" t="n">
        <x:f>G3-I3</x:f>
        <x:v>0.01823721812684045</x:v>
      </x:c>
      <x:c r="L3" s="10" t="n">
        <x:f>Assumptions!$B$4*Assumptions!$B$10/H3</x:f>
        <x:v>1.0738388919964141</x:v>
      </x:c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n">
        <x:v>2029</x:v>
      </x:c>
      <x:c r="B4" s="12" t="n">
        <x:v>65</x:v>
      </x:c>
      <x:c r="C4" s="7" t="n">
        <x:f>B4*Assumptions!$B$9*Assumptions!$B$8</x:f>
        <x:v>14.7875</x:v>
      </x:c>
      <x:c r="D4" s="10" t="n">
        <x:f>C4/H3</x:f>
        <x:v>0.004503770099097219</x:v>
      </x:c>
      <x:c r="E4" s="10" t="n">
        <x:f>Assumptions!$B$5</x:f>
        <x:v>0.01</x:v>
      </x:c>
      <x:c r="F4" s="10" t="n">
        <x:f>Assumptions!$B$6</x:f>
        <x:v>0.025</x:v>
      </x:c>
      <x:c r="G4" s="10" t="n">
        <x:f>D4+E4+F4</x:f>
        <x:v>0.039503770099097224</x:v>
      </x:c>
      <x:c r="H4" s="7" t="n">
        <x:f>H3*(1+G4)</x:f>
        <x:v>3413.0654234375</x:v>
      </x:c>
      <x:c r="I4" s="10" t="n">
        <x:f>Assumptions!$B$7</x:f>
        <x:v>0.02</x:v>
      </x:c>
      <x:c r="J4" s="7" t="n">
        <x:f>J3*(1+I4)</x:f>
        <x:v>1851.3834768000002</x:v>
      </x:c>
      <x:c r="K4" s="10" t="n">
        <x:f>G4-I4</x:f>
        <x:v>0.019503770099097224</x:v>
      </x:c>
      <x:c r="L4" s="10" t="n">
        <x:f>Assumptions!$B$4*Assumptions!$B$10/H4</x:f>
        <x:v>1.0330303005000583</x:v>
      </x:c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n">
        <x:v>2030</x:v>
      </x:c>
      <x:c r="B5" s="12" t="n">
        <x:v>80</x:v>
      </x:c>
      <x:c r="C5" s="7" t="n">
        <x:f>B5*Assumptions!$B$9*Assumptions!$B$8</x:f>
        <x:v>18.2</x:v>
      </x:c>
      <x:c r="D5" s="10" t="n">
        <x:f>C5/H4</x:f>
        <x:v>0.005332449789863595</x:v>
      </x:c>
      <x:c r="E5" s="10" t="n">
        <x:f>Assumptions!$B$5</x:f>
        <x:v>0.01</x:v>
      </x:c>
      <x:c r="F5" s="10" t="n">
        <x:f>Assumptions!$B$6</x:f>
        <x:v>0.025</x:v>
      </x:c>
      <x:c r="G5" s="10" t="n">
        <x:f>D5+E5+F5</x:f>
        <x:v>0.0403324497898636</x:v>
      </x:c>
      <x:c r="H5" s="7" t="n">
        <x:f>H4*(1+G5)</x:f>
        <x:v>3550.7227132578128</x:v>
      </x:c>
      <x:c r="I5" s="10" t="n">
        <x:f>Assumptions!$B$7</x:f>
        <x:v>0.02</x:v>
      </x:c>
      <x:c r="J5" s="7" t="n">
        <x:f>J4*(1+I5)</x:f>
        <x:v>1888.4111463360002</x:v>
      </x:c>
      <x:c r="K5" s="10" t="n">
        <x:f>G5-I5</x:f>
        <x:v>0.020332449789863597</x:v>
      </x:c>
      <x:c r="L5" s="10" t="n">
        <x:f>Assumptions!$B$4*Assumptions!$B$10/H5</x:f>
        <x:v>0.992980946339528</x:v>
      </x:c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n">
        <x:v>2031</x:v>
      </x:c>
      <x:c r="B6" s="12" t="n">
        <x:v>90</x:v>
      </x:c>
      <x:c r="C6" s="7" t="n">
        <x:f>B6*Assumptions!$B$9*Assumptions!$B$8</x:f>
        <x:v>20.474999999999998</x:v>
      </x:c>
      <x:c r="D6" s="10" t="n">
        <x:f>C6/H5</x:f>
        <x:v>0.005766431696721833</x:v>
      </x:c>
      <x:c r="E6" s="10" t="n">
        <x:f>Assumptions!$B$5</x:f>
        <x:v>0.01</x:v>
      </x:c>
      <x:c r="F6" s="10" t="n">
        <x:f>Assumptions!$B$6</x:f>
        <x:v>0.025</x:v>
      </x:c>
      <x:c r="G6" s="10" t="n">
        <x:f>D6+E6+F6</x:f>
        <x:v>0.04076643169672184</x:v>
      </x:c>
      <x:c r="H6" s="7" t="n">
        <x:f>H5*(1+G6)</x:f>
        <x:v>3695.473008221836</x:v>
      </x:c>
      <x:c r="I6" s="10" t="n">
        <x:f>Assumptions!$B$7</x:f>
        <x:v>0.02</x:v>
      </x:c>
      <x:c r="J6" s="7" t="n">
        <x:f>J5*(1+I6)</x:f>
        <x:v>1926.1793692627202</x:v>
      </x:c>
      <x:c r="K6" s="10" t="n">
        <x:f>G6-I6</x:f>
        <x:v>0.02076643169672184</x:v>
      </x:c>
      <x:c r="L6" s="10" t="n">
        <x:f>Assumptions!$B$4*Assumptions!$B$10/H6</x:f>
        <x:v>0.9540862542239272</x:v>
      </x:c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n">
        <x:v>2032</x:v>
      </x:c>
      <x:c r="B7" s="12" t="n">
        <x:v>90</x:v>
      </x:c>
      <x:c r="C7" s="7" t="n">
        <x:f>B7*Assumptions!$B$9*Assumptions!$B$8</x:f>
        <x:v>20.474999999999998</x:v>
      </x:c>
      <x:c r="D7" s="10" t="n">
        <x:f>C7/H6</x:f>
        <x:v>0.005540562724838309</x:v>
      </x:c>
      <x:c r="E7" s="10" t="n">
        <x:f>Assumptions!$B$5</x:f>
        <x:v>0.01</x:v>
      </x:c>
      <x:c r="F7" s="10" t="n">
        <x:f>Assumptions!$B$6</x:f>
        <x:v>0.025</x:v>
      </x:c>
      <x:c r="G7" s="10" t="n">
        <x:f>D7+E7+F7</x:f>
        <x:v>0.04054056272483831</x:v>
      </x:c>
      <x:c r="H7" s="7" t="n">
        <x:f>H6*(1+G7)</x:f>
        <x:v>3845.2895635096006</x:v>
      </x:c>
      <x:c r="I7" s="10" t="n">
        <x:f>Assumptions!$B$7</x:f>
        <x:v>0.02</x:v>
      </x:c>
      <x:c r="J7" s="7" t="n">
        <x:f>J6*(1+I7)</x:f>
        <x:v>1964.7029566479746</x:v>
      </x:c>
      <x:c r="K7" s="10" t="n">
        <x:f>G7-I7</x:f>
        <x:v>0.02054056272483831</x:v>
      </x:c>
      <x:c r="L7" s="10" t="n">
        <x:f>Assumptions!$B$4*Assumptions!$B$10/H7</x:f>
        <x:v>0.916914042952333</x:v>
      </x:c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n">
        <x:v>2033</x:v>
      </x:c>
      <x:c r="B8" s="12" t="n">
        <x:v>80</x:v>
      </x:c>
      <x:c r="C8" s="7" t="n">
        <x:f>B8*Assumptions!$B$9*Assumptions!$B$8</x:f>
        <x:v>18.2</x:v>
      </x:c>
      <x:c r="D8" s="10" t="n">
        <x:f>C8/H7</x:f>
        <x:v>0.004733063583224364</x:v>
      </x:c>
      <x:c r="E8" s="10" t="n">
        <x:f>Assumptions!$B$5</x:f>
        <x:v>0.01</x:v>
      </x:c>
      <x:c r="F8" s="10" t="n">
        <x:f>Assumptions!$B$6</x:f>
        <x:v>0.025</x:v>
      </x:c>
      <x:c r="G8" s="10" t="n">
        <x:f>D8+E8+F8</x:f>
        <x:v>0.039733063583224364</x:v>
      </x:c>
      <x:c r="H8" s="7" t="n">
        <x:f>H7*(1+G8)</x:f>
        <x:v>3998.0746982324363</x:v>
      </x:c>
      <x:c r="I8" s="10" t="n">
        <x:f>Assumptions!$B$7</x:f>
        <x:v>0.02</x:v>
      </x:c>
      <x:c r="J8" s="7" t="n">
        <x:f>J7*(1+I8)</x:f>
        <x:v>2003.9970157809341</x:v>
      </x:c>
      <x:c r="K8" s="10" t="n">
        <x:f>G8-I8</x:f>
        <x:v>0.019733063583224363</x:v>
      </x:c>
      <x:c r="L8" s="10" t="n">
        <x:f>Assumptions!$B$4*Assumptions!$B$10/H8</x:f>
        <x:v>0.8818744686183</x:v>
      </x:c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n">
        <x:v>2034</x:v>
      </x:c>
      <x:c r="B9" s="12" t="n">
        <x:v>70</x:v>
      </x:c>
      <x:c r="C9" s="7" t="n">
        <x:f>B9*Assumptions!$B$9*Assumptions!$B$8</x:f>
        <x:v>15.924999999999999</x:v>
      </x:c>
      <x:c r="D9" s="10" t="n">
        <x:f>C9/H8</x:f>
        <x:v>0.003983167199712527</x:v>
      </x:c>
      <x:c r="E9" s="10" t="n">
        <x:f>Assumptions!$B$5</x:f>
        <x:v>0.01</x:v>
      </x:c>
      <x:c r="F9" s="10" t="n">
        <x:f>Assumptions!$B$6</x:f>
        <x:v>0.025</x:v>
      </x:c>
      <x:c r="G9" s="10" t="n">
        <x:f>D9+E9+F9</x:f>
        <x:v>0.03898316719971253</x:v>
      </x:c>
      <x:c r="H9" s="7" t="n">
        <x:f>H8*(1+G9)</x:f>
        <x:v>4153.932312670571</x:v>
      </x:c>
      <x:c r="I9" s="10" t="n">
        <x:f>Assumptions!$B$7</x:f>
        <x:v>0.02</x:v>
      </x:c>
      <x:c r="J9" s="7" t="n">
        <x:f>J8*(1+I9)</x:f>
        <x:v>2044.0769560965527</x:v>
      </x:c>
      <x:c r="K9" s="10" t="n">
        <x:f>G9-I9</x:f>
        <x:v>0.01898316719971253</x:v>
      </x:c>
      <x:c r="L9" s="10" t="n">
        <x:f>Assumptions!$B$4*Assumptions!$B$10/H9</x:f>
        <x:v>0.8487860982340504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2" t="n">
        <x:v>2035</x:v>
      </x:c>
      <x:c r="B10" s="12" t="n">
        <x:v>55</x:v>
      </x:c>
      <x:c r="C10" s="7" t="n">
        <x:f>B10*Assumptions!$B$9*Assumptions!$B$8</x:f>
        <x:v>12.5125</x:v>
      </x:c>
      <x:c r="D10" s="10" t="n">
        <x:f>C10/H9</x:f>
        <x:v>0.003012206039523954</x:v>
      </x:c>
      <x:c r="E10" s="10" t="n">
        <x:f>Assumptions!$B$5</x:f>
        <x:v>0.01</x:v>
      </x:c>
      <x:c r="F10" s="10" t="n">
        <x:f>Assumptions!$B$6</x:f>
        <x:v>0.025</x:v>
      </x:c>
      <x:c r="G10" s="10" t="n">
        <x:f>D10+E10+F10</x:f>
        <x:v>0.03801220603952395</x:v>
      </x:c>
      <x:c r="H10" s="7" t="n">
        <x:f>H9*(1+G10)</x:f>
        <x:v>4311.832443614042</x:v>
      </x:c>
      <x:c r="I10" s="10" t="n">
        <x:f>Assumptions!$B$7</x:f>
        <x:v>0.02</x:v>
      </x:c>
      <x:c r="J10" s="7" t="n">
        <x:f>J9*(1+I10)</x:f>
        <x:v>2084.9584952184837</x:v>
      </x:c>
      <x:c r="K10" s="10" t="n">
        <x:f>G10-I10</x:f>
        <x:v>0.018012206039523953</x:v>
      </x:c>
      <x:c r="L10" s="10" t="n">
        <x:f>Assumptions!$B$4*Assumptions!$B$10/H10</x:f>
        <x:v>0.8177033885492975</x:v>
      </x:c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2" t="n">
        <x:v>2036</x:v>
      </x:c>
      <x:c r="B11" s="12" t="n">
        <x:v>40</x:v>
      </x:c>
      <x:c r="C11" s="7" t="n">
        <x:f>B11*Assumptions!$B$9*Assumptions!$B$8</x:f>
        <x:v>9.1</x:v>
      </x:c>
      <x:c r="D11" s="10" t="n">
        <x:f>C11/H10</x:f>
        <x:v>0.0021104716194334924</x:v>
      </x:c>
      <x:c r="E11" s="10" t="n">
        <x:f>Assumptions!$B$5</x:f>
        <x:v>0.01</x:v>
      </x:c>
      <x:c r="F11" s="10" t="n">
        <x:f>Assumptions!$B$6</x:f>
        <x:v>0.025</x:v>
      </x:c>
      <x:c r="G11" s="10" t="n">
        <x:f>D11+E11+F11</x:f>
        <x:v>0.0371104716194335</x:v>
      </x:c>
      <x:c r="H11" s="7" t="n">
        <x:f>H10*(1+G11)</x:f>
        <x:v>4471.846579140533</x:v>
      </x:c>
      <x:c r="I11" s="10" t="n">
        <x:f>Assumptions!$B$7</x:f>
        <x:v>0.02</x:v>
      </x:c>
      <x:c r="J11" s="7" t="n">
        <x:f>J10*(1+I11)</x:f>
        <x:v>2126.6576651228534</x:v>
      </x:c>
      <x:c r="K11" s="10" t="n">
        <x:f>G11-I11</x:f>
        <x:v>0.017110471619433496</x:v>
      </x:c>
      <x:c r="L11" s="10" t="n">
        <x:f>Assumptions!$B$4*Assumptions!$B$10/H11</x:f>
        <x:v>0.7884438648782179</x:v>
      </x:c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2" t="n">
        <x:v>2037</x:v>
      </x:c>
      <x:c r="B12" s="12" t="n">
        <x:v>30</x:v>
      </x:c>
      <x:c r="C12" s="7" t="n">
        <x:f>B12*Assumptions!$B$9*Assumptions!$B$8</x:f>
        <x:v>6.824999999999999</x:v>
      </x:c>
      <x:c r="D12" s="10" t="n">
        <x:f>C12/H11</x:f>
        <x:v>0.0015262151505456456</x:v>
      </x:c>
      <x:c r="E12" s="10" t="n">
        <x:f>Assumptions!$B$5</x:f>
        <x:v>0.01</x:v>
      </x:c>
      <x:c r="F12" s="10" t="n">
        <x:f>Assumptions!$B$6</x:f>
        <x:v>0.025</x:v>
      </x:c>
      <x:c r="G12" s="10" t="n">
        <x:f>D12+E12+F12</x:f>
        <x:v>0.036526215150545646</x:v>
      </x:c>
      <x:c r="H12" s="7" t="n">
        <x:f>H11*(1+G12)</x:f>
        <x:v>4635.186209410452</x:v>
      </x:c>
      <x:c r="I12" s="10" t="n">
        <x:f>Assumptions!$B$7</x:f>
        <x:v>0.02</x:v>
      </x:c>
      <x:c r="J12" s="7" t="n">
        <x:f>J11*(1+I12)</x:f>
        <x:v>2169.1908184253107</x:v>
      </x:c>
      <x:c r="K12" s="10" t="n">
        <x:f>G12-I12</x:f>
        <x:v>0.016526215150545646</x:v>
      </x:c>
      <x:c r="L12" s="10" t="n">
        <x:f>Assumptions!$B$4*Assumptions!$B$10/H12</x:f>
        <x:v>0.7606598399093109</x:v>
      </x:c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2" t="n">
        <x:v>2038</x:v>
      </x:c>
      <x:c r="B13" s="12" t="n">
        <x:v>20</x:v>
      </x:c>
      <x:c r="C13" s="7" t="n">
        <x:f>B13*Assumptions!$B$9*Assumptions!$B$8</x:f>
        <x:v>4.55</x:v>
      </x:c>
      <x:c r="D13" s="10" t="n">
        <x:f>C13/H12</x:f>
        <x:v>0.0009816218366292373</x:v>
      </x:c>
      <x:c r="E13" s="10" t="n">
        <x:f>Assumptions!$B$5</x:f>
        <x:v>0.01</x:v>
      </x:c>
      <x:c r="F13" s="10" t="n">
        <x:f>Assumptions!$B$6</x:f>
        <x:v>0.025</x:v>
      </x:c>
      <x:c r="G13" s="10" t="n">
        <x:f>D13+E13+F13</x:f>
        <x:v>0.035981621836629236</x:v>
      </x:c>
      <x:c r="H13" s="7" t="n">
        <x:f>H12*(1+G13)</x:f>
        <x:v>4801.967726739818</x:v>
      </x:c>
      <x:c r="I13" s="10" t="n">
        <x:f>Assumptions!$B$7</x:f>
        <x:v>0.02</x:v>
      </x:c>
      <x:c r="J13" s="7" t="n">
        <x:f>J12*(1+I13)</x:f>
        <x:v>2212.574634793817</x:v>
      </x:c>
      <x:c r="K13" s="10" t="n">
        <x:f>G13-I13</x:f>
        <x:v>0.015981621836629236</x:v>
      </x:c>
      <x:c r="L13" s="10" t="n">
        <x:f>Assumptions!$B$4*Assumptions!$B$10/H13</x:f>
        <x:v>0.7342406697917893</x:v>
      </x:c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2" t="n">
        <x:v>2039</x:v>
      </x:c>
      <x:c r="B14" s="12" t="n">
        <x:v>10</x:v>
      </x:c>
      <x:c r="C14" s="7" t="n">
        <x:f>B14*Assumptions!$B$9*Assumptions!$B$8</x:f>
        <x:v>2.275</x:v>
      </x:c>
      <x:c r="D14" s="10" t="n">
        <x:f>C14/H13</x:f>
        <x:v>0.00047376411701637093</x:v>
      </x:c>
      <x:c r="E14" s="10" t="n">
        <x:f>Assumptions!$B$5</x:f>
        <x:v>0.01</x:v>
      </x:c>
      <x:c r="F14" s="10" t="n">
        <x:f>Assumptions!$B$6</x:f>
        <x:v>0.025</x:v>
      </x:c>
      <x:c r="G14" s="10" t="n">
        <x:f>D14+E14+F14</x:f>
        <x:v>0.035473764117016374</x:v>
      </x:c>
      <x:c r="H14" s="7" t="n">
        <x:f>H13*(1+G14)</x:f>
        <x:v>4972.311597175712</x:v>
      </x:c>
      <x:c r="I14" s="10" t="n">
        <x:f>Assumptions!$B$7</x:f>
        <x:v>0.02</x:v>
      </x:c>
      <x:c r="J14" s="7" t="n">
        <x:f>J13*(1+I14)</x:f>
        <x:v>2256.8261274896936</x:v>
      </x:c>
      <x:c r="K14" s="10" t="n">
        <x:f>G14-I14</x:f>
        <x:v>0.015473764117016373</x:v>
      </x:c>
      <x:c r="L14" s="10" t="n">
        <x:f>Assumptions!$B$4*Assumptions!$B$10/H14</x:f>
        <x:v>0.7090866956130956</x:v>
      </x:c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2" t="n">
        <x:v>2040</x:v>
      </x:c>
      <x:c r="B15" s="12" t="n">
        <x:v>0</x:v>
      </x:c>
      <x:c r="C15" s="7" t="n">
        <x:f>B15*Assumptions!$B$9*Assumptions!$B$8</x:f>
        <x:v>0</x:v>
      </x:c>
      <x:c r="D15" s="10" t="n">
        <x:f>C15/H14</x:f>
        <x:v>0</x:v>
      </x:c>
      <x:c r="E15" s="10" t="n">
        <x:f>Assumptions!$B$5</x:f>
        <x:v>0.01</x:v>
      </x:c>
      <x:c r="F15" s="10" t="n">
        <x:f>Assumptions!$B$6</x:f>
        <x:v>0.025</x:v>
      </x:c>
      <x:c r="G15" s="10" t="n">
        <x:f>D15+E15+F15</x:f>
        <x:v>0.035</x:v>
      </x:c>
      <x:c r="H15" s="7" t="n">
        <x:f>H14*(1+G15)</x:f>
        <x:v>5146.342503076862</x:v>
      </x:c>
      <x:c r="I15" s="10" t="n">
        <x:f>Assumptions!$B$7</x:f>
        <x:v>0.02</x:v>
      </x:c>
      <x:c r="J15" s="7" t="n">
        <x:f>J14*(1+I15)</x:f>
        <x:v>2301.9626500394875</x:v>
      </x:c>
      <x:c r="K15" s="10" t="n">
        <x:f>G15-I15</x:f>
        <x:v>0.015000000000000003</x:v>
      </x:c>
      <x:c r="L15" s="10" t="n">
        <x:f>Assumptions!$B$4*Assumptions!$B$10/H15</x:f>
        <x:v>0.6851079184667591</x:v>
      </x:c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</x:sheetData>
  <x:pageMargins left="0.7" right="0.7" top="0.75" bottom="0.75" header="0.3" footer="0.3"/>
  <x:drawing xmlns:r="http://schemas.openxmlformats.org/officeDocument/2006/relationships" r:id="R6b1c37615b5b4fed"/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2.25" hidden="0" customWidth="1"/>
    <x:col min="3" max="3" width="6.75" hidden="0" customWidth="1"/>
    <x:col min="4" max="4" width="16.1299991607666" hidden="0" customWidth="1"/>
    <x:col min="5" max="5" width="11.630000114440918" hidden="0" customWidth="1"/>
  </x:cols>
  <x:sheetData>
    <x:row r="1">
      <x:c r="A1" s="6" t="str">
        <x:v>Scenario</x:v>
      </x:c>
      <x:c r="B1" s="6" t="str">
        <x:v>Underlying real</x:v>
      </x:c>
      <x:c r="C1" s="6" t="str">
        <x:v>Deflator</x:v>
      </x:c>
      <x:c r="D1" s="6" t="str">
        <x:v>Public spend growth</x:v>
      </x:c>
      <x:c r="E1" s="6" t="str">
        <x:v>Credit impulse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7" t="str">
        <x:v>Low</x:v>
      </x:c>
      <x:c r="B2" s="10" t="n">
        <x:v>0.005</x:v>
      </x:c>
      <x:c r="C2" s="10" t="n">
        <x:v>0.015</x:v>
      </x:c>
      <x:c r="D2" s="10" t="n">
        <x:v>0.025</x:v>
      </x:c>
      <x:c r="E2" s="10" t="n">
        <x:v>0.2</x:v>
      </x:c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Central</x:v>
      </x:c>
      <x:c r="B3" s="10" t="n">
        <x:v>0.01</x:v>
      </x:c>
      <x:c r="C3" s="10" t="n">
        <x:v>0.025</x:v>
      </x:c>
      <x:c r="D3" s="10" t="n">
        <x:v>0.02</x:v>
      </x:c>
      <x:c r="E3" s="10" t="n">
        <x:v>0.35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High</x:v>
      </x:c>
      <x:c r="B4" s="10" t="n">
        <x:v>0.015</x:v>
      </x:c>
      <x:c r="C4" s="10" t="n">
        <x:v>0.03</x:v>
      </x:c>
      <x:c r="D4" s="10" t="n">
        <x:v>0.018</x:v>
      </x:c>
      <x:c r="E4" s="10" t="n">
        <x:v>0.5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Stress</x:v>
      </x:c>
      <x:c r="B5" s="10" t="n">
        <x:v>0</x:v>
      </x:c>
      <x:c r="C5" s="10" t="n">
        <x:v>0.04</x:v>
      </x:c>
      <x:c r="D5" s="10" t="n">
        <x:v>0.03</x:v>
      </x:c>
      <x:c r="E5" s="10" t="n">
        <x:v>0.1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72.87999725341797" hidden="0" customWidth="1"/>
  </x:cols>
  <x:sheetData>
    <x:row r="1">
      <x:c r="A1" s="6" t="str">
        <x:v>Purpose</x:v>
      </x:c>
      <x:c r="B1" s="6" t="str">
        <x:v>Transparent research model; not a forecast.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7" t="str">
        <x:v>Core identity</x:v>
      </x:c>
      <x:c r="B2" s="7" t="str">
        <x:v>Nominal GDP growth = underlying real + Pact real impulse + GDP deflator.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" t="str">
        <x:v>Pact impulse</x:v>
      </x:c>
      <x:c r="B3" s="7" t="str">
        <x:v>Net credit × domestic additional-spend share × credit impulse / prior GDP.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7" t="str">
        <x:v>Pact Spread</x:v>
      </x:c>
      <x:c r="B4" s="7" t="str">
        <x:v>Nominal GDP growth − nominal public-spending growth.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7" t="str">
        <x:v>Debt ratio</x:v>
      </x:c>
      <x:c r="B5" s="7" t="str">
        <x:v>Illustrative only: nominal public debt held flat. Replace with full primary balance + interest model.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7" t="str">
        <x:v>Central credit</x:v>
      </x:c>
      <x:c r="B6" s="7" t="str">
        <x:v>€700bn net cumulative, 2027–2040; new flow reaches zero in 2040.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7" t="str">
        <x:v>Guardrail</x:v>
      </x:c>
      <x:c r="B7" s="7" t="str">
        <x:v>Success means no need for accelerating home-equity credit after 2040.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7" t="str">
        <x:v>Source 1</x:v>
      </x:c>
      <x:c r="B8" s="7" t="str">
        <x:v>https://www.insee.fr/fr/statistiques/8988793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 t="str">
        <x:v>Source 2</x:v>
      </x:c>
      <x:c r="B9" s="7" t="str">
        <x:v>https://www.insee.fr/fr/statistiques/8956575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 t="str">
        <x:v>Source 3</x:v>
      </x:c>
      <x:c r="B10" s="7" t="str">
        <x:v>https://www.banque-france.fr/fr/statistiques/credit/credits-aux-particuliers-2026-07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</x:sheetData>
  <x:pageMargins left="0.7" right="0.7" top="0.75" bottom="0.75" header="0.3" footer="0.3"/>
</x:worksheet>
</file>